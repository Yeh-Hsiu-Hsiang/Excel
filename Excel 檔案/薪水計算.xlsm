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wqa011\Desktop\Excel\Excel 檔案\"/>
    </mc:Choice>
  </mc:AlternateContent>
  <xr:revisionPtr revIDLastSave="0" documentId="13_ncr:1_{EE3217A1-ECDD-42A0-BDFF-1D08CBBFCCBF}" xr6:coauthVersionLast="47" xr6:coauthVersionMax="47" xr10:uidLastSave="{00000000-0000-0000-0000-000000000000}"/>
  <bookViews>
    <workbookView xWindow="-120" yWindow="-120" windowWidth="29040" windowHeight="15840" xr2:uid="{B4B8A437-70FE-430E-AFF6-7B7E08EEF50D}"/>
  </bookViews>
  <sheets>
    <sheet name="薪水計算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7" i="1" l="1"/>
  <c r="K18" i="1"/>
  <c r="K17" i="1"/>
  <c r="G2" i="1" l="1"/>
  <c r="B6" i="1"/>
  <c r="C6" i="1" s="1"/>
  <c r="B7" i="1"/>
  <c r="C7" i="1" s="1"/>
  <c r="E7" i="1" s="1"/>
  <c r="B8" i="1"/>
  <c r="C8" i="1" s="1"/>
  <c r="E8" i="1" s="1"/>
  <c r="B9" i="1"/>
  <c r="C9" i="1" s="1"/>
  <c r="E9" i="1" s="1"/>
  <c r="B10" i="1"/>
  <c r="C10" i="1" s="1"/>
  <c r="E10" i="1" s="1"/>
  <c r="B11" i="1"/>
  <c r="C11" i="1" s="1"/>
  <c r="E11" i="1" s="1"/>
  <c r="B12" i="1"/>
  <c r="C12" i="1" s="1"/>
  <c r="B13" i="1"/>
  <c r="C13" i="1" s="1"/>
  <c r="B14" i="1"/>
  <c r="C14" i="1" s="1"/>
  <c r="E14" i="1" s="1"/>
  <c r="B15" i="1"/>
  <c r="C15" i="1" s="1"/>
  <c r="E15" i="1" s="1"/>
  <c r="B16" i="1"/>
  <c r="C16" i="1" s="1"/>
  <c r="E16" i="1" s="1"/>
  <c r="B17" i="1"/>
  <c r="C17" i="1" s="1"/>
  <c r="E17" i="1" s="1"/>
  <c r="B18" i="1"/>
  <c r="C18" i="1" s="1"/>
  <c r="E18" i="1" s="1"/>
  <c r="B19" i="1"/>
  <c r="C19" i="1" s="1"/>
  <c r="B20" i="1"/>
  <c r="C20" i="1" s="1"/>
  <c r="B21" i="1"/>
  <c r="C21" i="1" s="1"/>
  <c r="E21" i="1" s="1"/>
  <c r="B22" i="1"/>
  <c r="C22" i="1" s="1"/>
  <c r="B23" i="1"/>
  <c r="C23" i="1" s="1"/>
  <c r="B24" i="1"/>
  <c r="C24" i="1" s="1"/>
  <c r="E24" i="1" s="1"/>
  <c r="B25" i="1"/>
  <c r="C25" i="1" s="1"/>
  <c r="E25" i="1" s="1"/>
  <c r="B26" i="1"/>
  <c r="C26" i="1" s="1"/>
  <c r="B27" i="1"/>
  <c r="C27" i="1" s="1"/>
  <c r="F27" i="1" s="1"/>
  <c r="B28" i="1"/>
  <c r="C28" i="1" s="1"/>
  <c r="E28" i="1" s="1"/>
  <c r="B29" i="1"/>
  <c r="C29" i="1" s="1"/>
  <c r="E29" i="1" s="1"/>
  <c r="B30" i="1"/>
  <c r="C30" i="1" s="1"/>
  <c r="E30" i="1" s="1"/>
  <c r="B31" i="1"/>
  <c r="C31" i="1" s="1"/>
  <c r="E31" i="1" s="1"/>
  <c r="B32" i="1"/>
  <c r="C32" i="1" s="1"/>
  <c r="E32" i="1" s="1"/>
  <c r="F32" i="1" s="1"/>
  <c r="B33" i="1"/>
  <c r="C33" i="1" s="1"/>
  <c r="F33" i="1" s="1"/>
  <c r="B34" i="1"/>
  <c r="C34" i="1" s="1"/>
  <c r="F34" i="1" s="1"/>
  <c r="B35" i="1"/>
  <c r="C35" i="1" s="1"/>
  <c r="F35" i="1" s="1"/>
  <c r="B5" i="1"/>
  <c r="E35" i="1" l="1"/>
  <c r="E34" i="1"/>
  <c r="E33" i="1"/>
  <c r="E27" i="1"/>
  <c r="E26" i="1"/>
  <c r="F31" i="1"/>
  <c r="F30" i="1"/>
  <c r="F29" i="1"/>
  <c r="C5" i="1"/>
  <c r="I2" i="1"/>
  <c r="I1" i="1" s="1"/>
  <c r="G20" i="1"/>
  <c r="F20" i="1"/>
  <c r="G27" i="1"/>
  <c r="G35" i="1"/>
  <c r="G19" i="1"/>
  <c r="F19" i="1"/>
  <c r="G34" i="1"/>
  <c r="G33" i="1"/>
  <c r="F13" i="1"/>
  <c r="G13" i="1"/>
  <c r="F12" i="1"/>
  <c r="G12" i="1"/>
  <c r="E6" i="1"/>
  <c r="F6" i="1"/>
  <c r="G6" i="1"/>
  <c r="E13" i="1"/>
  <c r="E20" i="1"/>
  <c r="E19" i="1"/>
  <c r="E22" i="1"/>
  <c r="E12" i="1"/>
  <c r="E23" i="1"/>
  <c r="F28" i="1" l="1"/>
  <c r="F26" i="1"/>
  <c r="G26" i="1" s="1"/>
  <c r="E5" i="1"/>
  <c r="E36" i="1" s="1"/>
  <c r="F5" i="1"/>
  <c r="G5" i="1"/>
  <c r="F17" i="1" l="1"/>
  <c r="G17" i="1" s="1"/>
  <c r="F9" i="1"/>
  <c r="G9" i="1" s="1"/>
  <c r="F21" i="1"/>
  <c r="G21" i="1" s="1"/>
  <c r="G31" i="1"/>
  <c r="F16" i="1"/>
  <c r="G16" i="1" s="1"/>
  <c r="G30" i="1"/>
  <c r="F15" i="1"/>
  <c r="G15" i="1" s="1"/>
  <c r="G32" i="1"/>
  <c r="F18" i="1"/>
  <c r="G18" i="1" s="1"/>
  <c r="G29" i="1"/>
  <c r="F7" i="1"/>
  <c r="G7" i="1" s="1"/>
  <c r="F25" i="1"/>
  <c r="G25" i="1" s="1"/>
  <c r="F10" i="1"/>
  <c r="G10" i="1" s="1"/>
  <c r="F24" i="1"/>
  <c r="G24" i="1" s="1"/>
  <c r="G28" i="1"/>
  <c r="F22" i="1"/>
  <c r="G22" i="1" s="1"/>
  <c r="F8" i="1"/>
  <c r="G8" i="1" s="1"/>
  <c r="F14" i="1"/>
  <c r="G14" i="1" s="1"/>
  <c r="F11" i="1"/>
  <c r="G11" i="1" s="1"/>
  <c r="F23" i="1"/>
  <c r="G23" i="1" s="1"/>
  <c r="G36" i="1" l="1"/>
  <c r="G39" i="1" s="1"/>
  <c r="F36" i="1"/>
</calcChain>
</file>

<file path=xl/sharedStrings.xml><?xml version="1.0" encoding="utf-8"?>
<sst xmlns="http://schemas.openxmlformats.org/spreadsheetml/2006/main" count="20" uniqueCount="20">
  <si>
    <t>薪資年月</t>
    <rPh sb="0" eb="2">
      <t>ネンゲツ</t>
    </rPh>
    <phoneticPr fontId="3"/>
  </si>
  <si>
    <t>星期</t>
    <phoneticPr fontId="3"/>
  </si>
  <si>
    <t>上班時間</t>
    <rPh sb="2" eb="4">
      <t>ジカン</t>
    </rPh>
    <phoneticPr fontId="3"/>
  </si>
  <si>
    <t>加班時間</t>
    <phoneticPr fontId="3"/>
  </si>
  <si>
    <t>支給薪資</t>
    <phoneticPr fontId="3"/>
  </si>
  <si>
    <t>合計</t>
    <phoneticPr fontId="3"/>
  </si>
  <si>
    <t>月薪資</t>
    <phoneticPr fontId="3"/>
  </si>
  <si>
    <t>日薪</t>
    <phoneticPr fontId="3"/>
  </si>
  <si>
    <t>加班時薪</t>
    <phoneticPr fontId="3"/>
  </si>
  <si>
    <t>伙食費</t>
    <phoneticPr fontId="3"/>
  </si>
  <si>
    <t>全勤獎金</t>
    <phoneticPr fontId="3"/>
  </si>
  <si>
    <t>正常下班時間</t>
    <phoneticPr fontId="3"/>
  </si>
  <si>
    <t>=DAY(DATE(年,月+1,0))
DATE(A2,B2+1,0)：指出本月的最後一天。</t>
    <phoneticPr fontId="3"/>
  </si>
  <si>
    <t>下班時間</t>
    <rPh sb="2" eb="4">
      <t>ジカン</t>
    </rPh>
    <phoneticPr fontId="3"/>
  </si>
  <si>
    <t>加班費</t>
    <phoneticPr fontId="3"/>
  </si>
  <si>
    <t>日期</t>
    <phoneticPr fontId="3"/>
  </si>
  <si>
    <t>底薪</t>
    <phoneticPr fontId="3"/>
  </si>
  <si>
    <t>總月薪</t>
    <phoneticPr fontId="3"/>
  </si>
  <si>
    <t>=VALUE(DAY(DATE(TEXT(NOW(),"YYYY"),TEXT(NOW(),"MM")+1,0))*$G$1)</t>
    <phoneticPr fontId="3"/>
  </si>
  <si>
    <t>休息日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</si>
</sst>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General&quot;年&quot;"/>
    <numFmt numFmtId="177" formatCode="General&quot;月&quot;"/>
    <numFmt numFmtId="178" formatCode="h:mm;@"/>
    <numFmt numFmtId="179" formatCode="[$-404]aaaa;@"/>
    <numFmt numFmtId="180" formatCode="h:mm"/>
    <numFmt numFmtId="181" formatCode="&quot;← &quot;@"/>
    <numFmt numFmtId="182" formatCode="[h]:mm"/>
  </numFmts>
  <fonts count="10">
    <font>
      <sz val="12"/>
      <color theme="1"/>
      <name val="新細明體"/>
      <family val="2"/>
      <charset val="136"/>
      <scheme val="minor"/>
    </font>
    <font>
      <sz val="11"/>
      <name val="ＭＳ Ｐゴシック"/>
      <family val="2"/>
      <charset val="128"/>
    </font>
    <font>
      <sz val="11"/>
      <name val="Microsoft JhengHei Light"/>
      <family val="2"/>
      <charset val="136"/>
    </font>
    <font>
      <sz val="6"/>
      <name val="ＭＳ Ｐゴシック"/>
      <family val="2"/>
      <charset val="128"/>
    </font>
    <font>
      <sz val="14"/>
      <name val="Microsoft JhengHei Light"/>
      <family val="2"/>
      <charset val="136"/>
    </font>
    <font>
      <b/>
      <sz val="12"/>
      <name val="超研澤中鋼筆行楷"/>
      <family val="3"/>
      <charset val="136"/>
    </font>
    <font>
      <b/>
      <sz val="16"/>
      <name val="超研澤中鋼筆行楷"/>
      <family val="3"/>
      <charset val="136"/>
    </font>
    <font>
      <b/>
      <sz val="11"/>
      <name val="超研澤中鋼筆行楷"/>
      <family val="3"/>
      <charset val="136"/>
    </font>
    <font>
      <b/>
      <sz val="14"/>
      <name val="超研澤中鋼筆行楷"/>
      <family val="3"/>
      <charset val="136"/>
    </font>
    <font>
      <b/>
      <sz val="12"/>
      <color theme="1"/>
      <name val="超研澤中鋼筆行楷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99FFCC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38" fontId="1" fillId="0" borderId="0" applyFont="0" applyFill="0" applyBorder="0" applyAlignment="0" applyProtection="0"/>
  </cellStyleXfs>
  <cellXfs count="61">
    <xf numFmtId="0" fontId="0" fillId="0" borderId="0" xfId="0">
      <alignment vertical="center"/>
    </xf>
    <xf numFmtId="0" fontId="2" fillId="0" borderId="0" xfId="1" applyFont="1" applyAlignment="1">
      <alignment horizontal="center"/>
    </xf>
    <xf numFmtId="0" fontId="2" fillId="0" borderId="0" xfId="1" applyFont="1"/>
    <xf numFmtId="179" fontId="2" fillId="0" borderId="0" xfId="1" applyNumberFormat="1" applyFont="1" applyAlignment="1">
      <alignment horizontal="center"/>
    </xf>
    <xf numFmtId="0" fontId="4" fillId="0" borderId="0" xfId="1" applyFont="1" applyFill="1" applyBorder="1" applyAlignment="1">
      <alignment horizontal="center"/>
    </xf>
    <xf numFmtId="38" fontId="4" fillId="0" borderId="0" xfId="2" applyFont="1" applyFill="1" applyBorder="1"/>
    <xf numFmtId="20" fontId="4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center" vertical="center"/>
    </xf>
    <xf numFmtId="0" fontId="0" fillId="0" borderId="0" xfId="0" quotePrefix="1" applyNumberFormat="1" applyAlignment="1">
      <alignment vertical="center" wrapText="1"/>
    </xf>
    <xf numFmtId="181" fontId="8" fillId="3" borderId="2" xfId="2" applyNumberFormat="1" applyFont="1" applyFill="1" applyBorder="1" applyAlignment="1">
      <alignment horizontal="center" vertical="center"/>
    </xf>
    <xf numFmtId="20" fontId="7" fillId="0" borderId="1" xfId="1" applyNumberFormat="1" applyFont="1" applyFill="1" applyBorder="1" applyAlignment="1">
      <alignment horizontal="center" vertical="center"/>
    </xf>
    <xf numFmtId="179" fontId="7" fillId="0" borderId="1" xfId="1" applyNumberFormat="1" applyFont="1" applyFill="1" applyBorder="1" applyAlignment="1">
      <alignment horizontal="center" vertical="center"/>
    </xf>
    <xf numFmtId="20" fontId="7" fillId="2" borderId="1" xfId="1" applyNumberFormat="1" applyFont="1" applyFill="1" applyBorder="1" applyAlignment="1">
      <alignment horizontal="center" vertical="center"/>
    </xf>
    <xf numFmtId="0" fontId="7" fillId="0" borderId="1" xfId="1" applyNumberFormat="1" applyFont="1" applyFill="1" applyBorder="1" applyAlignment="1">
      <alignment horizontal="center" vertical="center"/>
    </xf>
    <xf numFmtId="182" fontId="7" fillId="2" borderId="1" xfId="1" applyNumberFormat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/>
    </xf>
    <xf numFmtId="20" fontId="7" fillId="0" borderId="0" xfId="1" applyNumberFormat="1" applyFont="1" applyFill="1" applyBorder="1" applyAlignment="1">
      <alignment horizontal="center" vertical="center"/>
    </xf>
    <xf numFmtId="182" fontId="7" fillId="0" borderId="0" xfId="1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178" fontId="7" fillId="3" borderId="3" xfId="2" applyNumberFormat="1" applyFont="1" applyFill="1" applyBorder="1" applyAlignment="1">
      <alignment horizontal="center" vertical="center"/>
    </xf>
    <xf numFmtId="0" fontId="7" fillId="5" borderId="3" xfId="1" applyNumberFormat="1" applyFont="1" applyFill="1" applyBorder="1"/>
    <xf numFmtId="0" fontId="9" fillId="0" borderId="6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2" fillId="0" borderId="0" xfId="1" applyNumberFormat="1" applyFont="1"/>
    <xf numFmtId="4" fontId="7" fillId="5" borderId="3" xfId="1" applyNumberFormat="1" applyFont="1" applyFill="1" applyBorder="1"/>
    <xf numFmtId="2" fontId="2" fillId="0" borderId="0" xfId="1" applyNumberFormat="1" applyFont="1"/>
    <xf numFmtId="4" fontId="7" fillId="5" borderId="3" xfId="1" applyNumberFormat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/>
    </xf>
    <xf numFmtId="179" fontId="7" fillId="0" borderId="9" xfId="1" applyNumberFormat="1" applyFont="1" applyFill="1" applyBorder="1" applyAlignment="1">
      <alignment horizontal="center" vertical="center"/>
    </xf>
    <xf numFmtId="20" fontId="7" fillId="0" borderId="9" xfId="1" applyNumberFormat="1" applyFont="1" applyFill="1" applyBorder="1" applyAlignment="1">
      <alignment horizontal="center" vertical="center"/>
    </xf>
    <xf numFmtId="20" fontId="7" fillId="2" borderId="9" xfId="1" applyNumberFormat="1" applyFont="1" applyFill="1" applyBorder="1" applyAlignment="1">
      <alignment horizontal="center" vertical="center"/>
    </xf>
    <xf numFmtId="0" fontId="7" fillId="0" borderId="9" xfId="1" applyNumberFormat="1" applyFont="1" applyFill="1" applyBorder="1" applyAlignment="1">
      <alignment horizontal="center" vertical="center"/>
    </xf>
    <xf numFmtId="0" fontId="5" fillId="4" borderId="3" xfId="1" applyFont="1" applyFill="1" applyBorder="1" applyAlignment="1">
      <alignment horizontal="center" vertical="center"/>
    </xf>
    <xf numFmtId="38" fontId="5" fillId="4" borderId="3" xfId="2" applyFont="1" applyFill="1" applyBorder="1" applyAlignment="1">
      <alignment horizontal="center" vertical="center"/>
    </xf>
    <xf numFmtId="20" fontId="5" fillId="4" borderId="3" xfId="1" applyNumberFormat="1" applyFont="1" applyFill="1" applyBorder="1" applyAlignment="1">
      <alignment horizontal="center" vertical="center"/>
    </xf>
    <xf numFmtId="0" fontId="7" fillId="0" borderId="13" xfId="1" applyFont="1" applyFill="1" applyBorder="1" applyAlignment="1">
      <alignment horizontal="center" vertical="center"/>
    </xf>
    <xf numFmtId="0" fontId="7" fillId="0" borderId="14" xfId="1" applyFont="1" applyFill="1" applyBorder="1" applyAlignment="1">
      <alignment horizontal="center" vertical="center"/>
    </xf>
    <xf numFmtId="0" fontId="7" fillId="0" borderId="15" xfId="1" applyFont="1" applyFill="1" applyBorder="1" applyAlignment="1">
      <alignment horizontal="center" vertical="center"/>
    </xf>
    <xf numFmtId="0" fontId="7" fillId="0" borderId="16" xfId="1" applyFont="1" applyFill="1" applyBorder="1" applyAlignment="1">
      <alignment horizontal="center" vertical="center"/>
    </xf>
    <xf numFmtId="0" fontId="7" fillId="0" borderId="17" xfId="1" applyFont="1" applyFill="1" applyBorder="1" applyAlignment="1">
      <alignment horizontal="center" vertical="center"/>
    </xf>
    <xf numFmtId="0" fontId="7" fillId="0" borderId="18" xfId="1" applyFont="1" applyFill="1" applyBorder="1" applyAlignment="1">
      <alignment horizontal="center" vertical="center"/>
    </xf>
    <xf numFmtId="179" fontId="7" fillId="0" borderId="19" xfId="1" applyNumberFormat="1" applyFont="1" applyFill="1" applyBorder="1" applyAlignment="1">
      <alignment horizontal="center" vertical="center"/>
    </xf>
    <xf numFmtId="20" fontId="7" fillId="0" borderId="19" xfId="1" applyNumberFormat="1" applyFont="1" applyFill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176" fontId="6" fillId="2" borderId="3" xfId="1" applyNumberFormat="1" applyFont="1" applyFill="1" applyBorder="1" applyAlignment="1">
      <alignment horizontal="center" vertical="center"/>
    </xf>
    <xf numFmtId="177" fontId="6" fillId="2" borderId="3" xfId="1" applyNumberFormat="1" applyFont="1" applyFill="1" applyBorder="1" applyAlignment="1">
      <alignment horizontal="center" vertical="center"/>
    </xf>
    <xf numFmtId="180" fontId="6" fillId="0" borderId="3" xfId="1" applyNumberFormat="1" applyFont="1" applyFill="1" applyBorder="1" applyAlignment="1">
      <alignment horizontal="center" vertical="center"/>
    </xf>
    <xf numFmtId="0" fontId="0" fillId="0" borderId="0" xfId="0" quotePrefix="1" applyNumberFormat="1">
      <alignment vertical="center"/>
    </xf>
    <xf numFmtId="14" fontId="2" fillId="0" borderId="0" xfId="1" applyNumberFormat="1" applyFont="1"/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14" fontId="7" fillId="0" borderId="20" xfId="1" applyNumberFormat="1" applyFont="1" applyBorder="1" applyAlignment="1">
      <alignment horizontal="center" vertical="center"/>
    </xf>
    <xf numFmtId="14" fontId="7" fillId="0" borderId="21" xfId="1" applyNumberFormat="1" applyFont="1" applyBorder="1" applyAlignment="1">
      <alignment horizontal="center" vertical="center"/>
    </xf>
    <xf numFmtId="0" fontId="0" fillId="0" borderId="22" xfId="0" applyBorder="1">
      <alignment vertical="center"/>
    </xf>
    <xf numFmtId="14" fontId="5" fillId="0" borderId="3" xfId="1" applyNumberFormat="1" applyFont="1" applyBorder="1" applyAlignment="1">
      <alignment horizontal="center" vertical="center"/>
    </xf>
    <xf numFmtId="0" fontId="7" fillId="0" borderId="3" xfId="1" applyNumberFormat="1" applyFont="1" applyFill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38" fontId="9" fillId="6" borderId="7" xfId="0" applyNumberFormat="1" applyFont="1" applyFill="1" applyBorder="1" applyAlignment="1">
      <alignment horizontal="center" vertical="center"/>
    </xf>
  </cellXfs>
  <cellStyles count="3">
    <cellStyle name="一般" xfId="0" builtinId="0"/>
    <cellStyle name="一般_出勤時間" xfId="1" xr:uid="{8B92A00E-4F36-43C3-81E6-9EE28B6A7B72}"/>
    <cellStyle name="千分位[0]_出勤時間" xfId="2" xr:uid="{B6C4C24C-AE1D-437E-85A7-8789F909BC37}"/>
  </cellStyles>
  <dxfs count="15">
    <dxf>
      <font>
        <color rgb="FFFF0000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color rgb="FFFF0000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FF99CC"/>
      <color rgb="FF99FFCC"/>
      <color rgb="FFFFCCCC"/>
      <color rgb="FFCCCCFF"/>
      <color rgb="FF99CCFF"/>
      <color rgb="FF66CCFF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sp macro="[0]!重置下班時間" textlink="">
      <xdr:nvSpPr>
        <xdr:cNvPr id="4" name="乘號 3">
          <a:extLst>
            <a:ext uri="{FF2B5EF4-FFF2-40B4-BE49-F238E27FC236}">
              <a16:creationId xmlns:a16="http://schemas.microsoft.com/office/drawing/2014/main" id="{6C98312F-D0D4-4BBD-993D-C610C812819F}"/>
            </a:ext>
          </a:extLst>
        </xdr:cNvPr>
        <xdr:cNvSpPr/>
      </xdr:nvSpPr>
      <xdr:spPr>
        <a:xfrm>
          <a:off x="2790825" y="0"/>
          <a:ext cx="942975" cy="419100"/>
        </a:xfrm>
        <a:prstGeom prst="mathMultiply">
          <a:avLst/>
        </a:prstGeom>
        <a:solidFill>
          <a:srgbClr val="FFCCCC"/>
        </a:solidFill>
        <a:ln>
          <a:solidFill>
            <a:srgbClr val="FFCC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0</xdr:colOff>
      <xdr:row>4</xdr:row>
      <xdr:rowOff>9525</xdr:rowOff>
    </xdr:from>
    <xdr:to>
      <xdr:col>11</xdr:col>
      <xdr:colOff>0</xdr:colOff>
      <xdr:row>6</xdr:row>
      <xdr:rowOff>9525</xdr:rowOff>
    </xdr:to>
    <xdr:sp macro="[0]!下班時間18_30" textlink="">
      <xdr:nvSpPr>
        <xdr:cNvPr id="6" name="矩形: 圓角 5">
          <a:extLst>
            <a:ext uri="{FF2B5EF4-FFF2-40B4-BE49-F238E27FC236}">
              <a16:creationId xmlns:a16="http://schemas.microsoft.com/office/drawing/2014/main" id="{9A8FDBEE-6E81-4A82-9EF9-E56E4458FD41}"/>
            </a:ext>
          </a:extLst>
        </xdr:cNvPr>
        <xdr:cNvSpPr/>
      </xdr:nvSpPr>
      <xdr:spPr>
        <a:xfrm>
          <a:off x="7086600" y="1114425"/>
          <a:ext cx="3162300" cy="419100"/>
        </a:xfrm>
        <a:prstGeom prst="roundRect">
          <a:avLst/>
        </a:prstGeom>
        <a:solidFill>
          <a:srgbClr val="99CCFF"/>
        </a:solidFill>
        <a:ln>
          <a:solidFill>
            <a:srgbClr val="99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000" b="1">
              <a:latin typeface="超研澤中鋼筆行楷" panose="020B0609010101010101" pitchFamily="49" charset="-120"/>
              <a:ea typeface="超研澤中鋼筆行楷" panose="020B0609010101010101" pitchFamily="49" charset="-120"/>
              <a:cs typeface="超研澤中鋼筆行楷" panose="020B0609010101010101" pitchFamily="49" charset="-120"/>
            </a:rPr>
            <a:t>18:30</a:t>
          </a:r>
          <a:endParaRPr lang="en-US" altLang="en-US" sz="1100" b="1">
            <a:latin typeface="超研澤中鋼筆行楷" panose="020B0609010101010101" pitchFamily="49" charset="-120"/>
            <a:ea typeface="超研澤中鋼筆行楷" panose="020B0609010101010101" pitchFamily="49" charset="-120"/>
            <a:cs typeface="超研澤中鋼筆行楷" panose="020B0609010101010101" pitchFamily="49" charset="-120"/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[0]!下班時間19_00" textlink="">
      <xdr:nvSpPr>
        <xdr:cNvPr id="8" name="矩形: 圓角 7">
          <a:extLst>
            <a:ext uri="{FF2B5EF4-FFF2-40B4-BE49-F238E27FC236}">
              <a16:creationId xmlns:a16="http://schemas.microsoft.com/office/drawing/2014/main" id="{44ECF2E8-C673-43D4-B833-D085DCAF14A3}"/>
            </a:ext>
          </a:extLst>
        </xdr:cNvPr>
        <xdr:cNvSpPr/>
      </xdr:nvSpPr>
      <xdr:spPr>
        <a:xfrm>
          <a:off x="7086600" y="1733550"/>
          <a:ext cx="3162300" cy="419100"/>
        </a:xfrm>
        <a:prstGeom prst="roundRect">
          <a:avLst/>
        </a:prstGeom>
        <a:solidFill>
          <a:srgbClr val="CCCCFF"/>
        </a:solidFill>
        <a:ln>
          <a:solidFill>
            <a:srgbClr val="CC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000" b="1">
              <a:latin typeface="超研澤中鋼筆行楷" panose="020B0609010101010101" pitchFamily="49" charset="-120"/>
              <a:ea typeface="超研澤中鋼筆行楷" panose="020B0609010101010101" pitchFamily="49" charset="-120"/>
              <a:cs typeface="超研澤中鋼筆行楷" panose="020B0609010101010101" pitchFamily="49" charset="-120"/>
            </a:rPr>
            <a:t>19:00</a:t>
          </a:r>
          <a:endParaRPr lang="zh-TW" altLang="en-US" sz="2000" b="1">
            <a:latin typeface="超研澤中鋼筆行楷" panose="020B0609010101010101" pitchFamily="49" charset="-120"/>
            <a:ea typeface="超研澤中鋼筆行楷" panose="020B0609010101010101" pitchFamily="49" charset="-120"/>
            <a:cs typeface="超研澤中鋼筆行楷" panose="020B0609010101010101" pitchFamily="49" charset="-120"/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12</xdr:row>
      <xdr:rowOff>0</xdr:rowOff>
    </xdr:to>
    <xdr:sp macro="[0]!下班時間19_30" textlink="">
      <xdr:nvSpPr>
        <xdr:cNvPr id="9" name="矩形: 圓角 8">
          <a:extLst>
            <a:ext uri="{FF2B5EF4-FFF2-40B4-BE49-F238E27FC236}">
              <a16:creationId xmlns:a16="http://schemas.microsoft.com/office/drawing/2014/main" id="{331EBB59-9DB0-4AE9-BEC3-69C41ABB3AF2}"/>
            </a:ext>
          </a:extLst>
        </xdr:cNvPr>
        <xdr:cNvSpPr/>
      </xdr:nvSpPr>
      <xdr:spPr>
        <a:xfrm>
          <a:off x="7086600" y="2362200"/>
          <a:ext cx="3162300" cy="419100"/>
        </a:xfrm>
        <a:prstGeom prst="roundRect">
          <a:avLst/>
        </a:prstGeom>
        <a:solidFill>
          <a:srgbClr val="FFCCCC"/>
        </a:solidFill>
        <a:ln>
          <a:solidFill>
            <a:srgbClr val="FFCC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000" b="1">
              <a:latin typeface="超研澤中鋼筆行楷" panose="020B0609010101010101" pitchFamily="49" charset="-120"/>
              <a:ea typeface="超研澤中鋼筆行楷" panose="020B0609010101010101" pitchFamily="49" charset="-120"/>
              <a:cs typeface="超研澤中鋼筆行楷" panose="020B0609010101010101" pitchFamily="49" charset="-120"/>
            </a:rPr>
            <a:t>19:30</a:t>
          </a:r>
          <a:endParaRPr lang="zh-TW" altLang="en-US" sz="2000" b="1">
            <a:latin typeface="超研澤中鋼筆行楷" panose="020B0609010101010101" pitchFamily="49" charset="-120"/>
            <a:ea typeface="超研澤中鋼筆行楷" panose="020B0609010101010101" pitchFamily="49" charset="-120"/>
            <a:cs typeface="超研澤中鋼筆行楷" panose="020B0609010101010101" pitchFamily="49" charset="-120"/>
          </a:endParaRPr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11</xdr:col>
      <xdr:colOff>0</xdr:colOff>
      <xdr:row>15</xdr:row>
      <xdr:rowOff>0</xdr:rowOff>
    </xdr:to>
    <xdr:sp macro="[0]!下班時間20_00" textlink="">
      <xdr:nvSpPr>
        <xdr:cNvPr id="10" name="矩形: 圓角 9">
          <a:extLst>
            <a:ext uri="{FF2B5EF4-FFF2-40B4-BE49-F238E27FC236}">
              <a16:creationId xmlns:a16="http://schemas.microsoft.com/office/drawing/2014/main" id="{151EEDA2-3C61-4119-A0BD-75924E518FA4}"/>
            </a:ext>
          </a:extLst>
        </xdr:cNvPr>
        <xdr:cNvSpPr/>
      </xdr:nvSpPr>
      <xdr:spPr>
        <a:xfrm>
          <a:off x="7086600" y="2990850"/>
          <a:ext cx="3162300" cy="419100"/>
        </a:xfrm>
        <a:prstGeom prst="roundRect">
          <a:avLst/>
        </a:prstGeom>
        <a:solidFill>
          <a:srgbClr val="99FFCC"/>
        </a:solidFill>
        <a:ln>
          <a:solidFill>
            <a:srgbClr val="99FF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000" b="1">
              <a:latin typeface="超研澤中鋼筆行楷" panose="020B0609010101010101" pitchFamily="49" charset="-120"/>
              <a:ea typeface="超研澤中鋼筆行楷" panose="020B0609010101010101" pitchFamily="49" charset="-120"/>
              <a:cs typeface="超研澤中鋼筆行楷" panose="020B0609010101010101" pitchFamily="49" charset="-120"/>
            </a:rPr>
            <a:t>20:00</a:t>
          </a:r>
          <a:endParaRPr lang="zh-TW" altLang="en-US" sz="2000" b="1">
            <a:latin typeface="超研澤中鋼筆行楷" panose="020B0609010101010101" pitchFamily="49" charset="-120"/>
            <a:ea typeface="超研澤中鋼筆行楷" panose="020B0609010101010101" pitchFamily="49" charset="-120"/>
            <a:cs typeface="超研澤中鋼筆行楷" panose="020B0609010101010101" pitchFamily="49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9424E-8DB8-4DA2-B362-3D0175C3A8E9}">
  <sheetPr codeName="工作表1"/>
  <dimension ref="A1:K40"/>
  <sheetViews>
    <sheetView tabSelected="1" workbookViewId="0">
      <selection activeCell="K33" sqref="K33"/>
    </sheetView>
  </sheetViews>
  <sheetFormatPr defaultRowHeight="16.5"/>
  <cols>
    <col min="1" max="1" width="15" bestFit="1" customWidth="1"/>
    <col min="2" max="2" width="11.375" bestFit="1" customWidth="1"/>
    <col min="3" max="3" width="10.25" bestFit="1" customWidth="1"/>
    <col min="4" max="4" width="12.375" bestFit="1" customWidth="1"/>
    <col min="5" max="5" width="10.25" bestFit="1" customWidth="1"/>
    <col min="6" max="6" width="10.25" customWidth="1"/>
    <col min="7" max="7" width="10.75" bestFit="1" customWidth="1"/>
    <col min="8" max="8" width="12" bestFit="1" customWidth="1"/>
    <col min="9" max="9" width="11.75" bestFit="1" customWidth="1"/>
    <col min="10" max="10" width="3.5" bestFit="1" customWidth="1"/>
    <col min="11" max="11" width="41.5" bestFit="1" customWidth="1"/>
    <col min="13" max="13" width="9" customWidth="1"/>
  </cols>
  <sheetData>
    <row r="1" spans="1:11" ht="33.75" thickBot="1">
      <c r="A1" s="44" t="s">
        <v>0</v>
      </c>
      <c r="B1" s="45">
        <v>2022</v>
      </c>
      <c r="C1" s="46">
        <v>1</v>
      </c>
      <c r="F1" s="44" t="s">
        <v>7</v>
      </c>
      <c r="G1" s="44">
        <v>900</v>
      </c>
      <c r="H1" s="44" t="s">
        <v>8</v>
      </c>
      <c r="I1" s="44">
        <f>ROUND($I$2/30/8,2)</f>
        <v>131.25</v>
      </c>
      <c r="K1" s="8" t="s">
        <v>12</v>
      </c>
    </row>
    <row r="2" spans="1:11" ht="19.5" thickBot="1">
      <c r="A2" s="44" t="s">
        <v>11</v>
      </c>
      <c r="B2" s="47">
        <v>0.72916666666666663</v>
      </c>
      <c r="C2" s="7"/>
      <c r="F2" s="44" t="s">
        <v>16</v>
      </c>
      <c r="G2" s="44">
        <f>VALUE(DAY(DATE($B$1,$C$1+1,0))*$G$1)</f>
        <v>27900</v>
      </c>
      <c r="H2" s="44" t="s">
        <v>17</v>
      </c>
      <c r="I2" s="44">
        <f>$G$2+$G$37+$G$38</f>
        <v>31500</v>
      </c>
      <c r="K2" s="48" t="s">
        <v>18</v>
      </c>
    </row>
    <row r="3" spans="1:11" ht="19.5" thickBot="1">
      <c r="E3" s="6"/>
      <c r="F3" s="6"/>
      <c r="G3" s="4"/>
      <c r="H3" s="5"/>
      <c r="I3" s="5"/>
      <c r="J3" s="4"/>
      <c r="K3" s="5"/>
    </row>
    <row r="4" spans="1:11" ht="17.25" thickBot="1">
      <c r="A4" s="35" t="s">
        <v>15</v>
      </c>
      <c r="B4" s="33" t="s">
        <v>1</v>
      </c>
      <c r="C4" s="33" t="s">
        <v>2</v>
      </c>
      <c r="D4" s="33" t="s">
        <v>13</v>
      </c>
      <c r="E4" s="34" t="s">
        <v>3</v>
      </c>
      <c r="F4" s="34" t="s">
        <v>14</v>
      </c>
      <c r="G4" s="34" t="s">
        <v>4</v>
      </c>
      <c r="H4" s="2"/>
      <c r="I4" s="34" t="s">
        <v>19</v>
      </c>
    </row>
    <row r="5" spans="1:11">
      <c r="A5" s="39">
        <v>1</v>
      </c>
      <c r="B5" s="29">
        <f>IFERROR(WEEKDAY($B$1&amp;"/"&amp;$C$1&amp;"/"&amp;$A5,2)+1,"")</f>
        <v>7</v>
      </c>
      <c r="C5" s="30" t="str">
        <f>IF($B5&gt;=7,"", TEXT("8:30","hh:mm"))</f>
        <v/>
      </c>
      <c r="D5" s="31"/>
      <c r="E5" s="32" t="str">
        <f>IF(OR($C5="",$D5=""),"", INT(($D5-$B$2)*24*60/30)/2)</f>
        <v/>
      </c>
      <c r="F5" s="32" t="str">
        <f t="shared" ref="F5:F10" si="0">IF(OR($C5="",$D5=""),"",IF($E5&lt;=2, ROUND($I$1*$E5*1.33,2), ROUND(($I$1*($E5-2))*1.67+($I$1*$E5*1.33),2)))</f>
        <v/>
      </c>
      <c r="G5" s="36">
        <f>IF(OR($C5="",$D5=""),$G$1,ROUND(($G$1+$F5),2))</f>
        <v>900</v>
      </c>
      <c r="H5" s="2"/>
      <c r="I5" s="54">
        <v>44562</v>
      </c>
      <c r="K5" s="16"/>
    </row>
    <row r="6" spans="1:11">
      <c r="A6" s="40">
        <v>2</v>
      </c>
      <c r="B6" s="11">
        <f t="shared" ref="B6:B35" si="1">IFERROR(WEEKDAY($B$1&amp;"/"&amp;$C$1&amp;"/"&amp;$A6,2)+1,"")</f>
        <v>8</v>
      </c>
      <c r="C6" s="10" t="str">
        <f>IF($B6&gt;=7,"", TEXT("8:30","hh:mm"))</f>
        <v/>
      </c>
      <c r="D6" s="12"/>
      <c r="E6" s="13" t="str">
        <f t="shared" ref="E6:E35" si="2">IF(OR($C6="",$D6=""),"", INT(($D6-$B$2)*24*60/30)/2)</f>
        <v/>
      </c>
      <c r="F6" s="13" t="str">
        <f t="shared" si="0"/>
        <v/>
      </c>
      <c r="G6" s="37">
        <f t="shared" ref="G6:G35" si="3">IF(OR($C6="",$D6=""),$G$1,ROUND(($G$1+$F6),2))</f>
        <v>900</v>
      </c>
      <c r="H6" s="2"/>
      <c r="I6" s="55">
        <v>44563</v>
      </c>
      <c r="K6" s="16"/>
    </row>
    <row r="7" spans="1:11">
      <c r="A7" s="40">
        <v>3</v>
      </c>
      <c r="B7" s="11">
        <f t="shared" si="1"/>
        <v>2</v>
      </c>
      <c r="C7" s="10" t="str">
        <f t="shared" ref="C7:C35" si="4">IF($B7&gt;=7,"", TEXT("8:30","hh:mm"))</f>
        <v>08:30</v>
      </c>
      <c r="D7" s="12">
        <v>0.8125</v>
      </c>
      <c r="E7" s="13">
        <f t="shared" si="2"/>
        <v>2</v>
      </c>
      <c r="F7" s="13">
        <f t="shared" si="0"/>
        <v>349.13</v>
      </c>
      <c r="G7" s="37">
        <f t="shared" si="3"/>
        <v>1249.1300000000001</v>
      </c>
      <c r="H7" s="49"/>
      <c r="I7" s="55">
        <v>44569</v>
      </c>
      <c r="K7" s="16"/>
    </row>
    <row r="8" spans="1:11">
      <c r="A8" s="40">
        <v>4</v>
      </c>
      <c r="B8" s="11">
        <f t="shared" si="1"/>
        <v>3</v>
      </c>
      <c r="C8" s="10" t="str">
        <f t="shared" si="4"/>
        <v>08:30</v>
      </c>
      <c r="D8" s="12">
        <v>0.79166666666666663</v>
      </c>
      <c r="E8" s="13">
        <f t="shared" si="2"/>
        <v>1.5</v>
      </c>
      <c r="F8" s="13">
        <f t="shared" si="0"/>
        <v>261.83999999999997</v>
      </c>
      <c r="G8" s="37">
        <f t="shared" si="3"/>
        <v>1161.8399999999999</v>
      </c>
      <c r="H8" s="2"/>
      <c r="I8" s="55">
        <v>44570</v>
      </c>
      <c r="K8" s="16"/>
    </row>
    <row r="9" spans="1:11">
      <c r="A9" s="40">
        <v>5</v>
      </c>
      <c r="B9" s="11">
        <f t="shared" si="1"/>
        <v>4</v>
      </c>
      <c r="C9" s="10" t="str">
        <f t="shared" si="4"/>
        <v>08:30</v>
      </c>
      <c r="D9" s="12">
        <v>0.79166666666666663</v>
      </c>
      <c r="E9" s="13">
        <f t="shared" si="2"/>
        <v>1.5</v>
      </c>
      <c r="F9" s="13">
        <f t="shared" si="0"/>
        <v>261.83999999999997</v>
      </c>
      <c r="G9" s="37">
        <f t="shared" si="3"/>
        <v>1161.8399999999999</v>
      </c>
      <c r="H9" s="2"/>
      <c r="I9" s="55">
        <v>44576</v>
      </c>
      <c r="K9" s="16"/>
    </row>
    <row r="10" spans="1:11">
      <c r="A10" s="40">
        <v>6</v>
      </c>
      <c r="B10" s="11">
        <f t="shared" si="1"/>
        <v>5</v>
      </c>
      <c r="C10" s="10" t="str">
        <f t="shared" si="4"/>
        <v>08:30</v>
      </c>
      <c r="D10" s="12">
        <v>0.79166666666666663</v>
      </c>
      <c r="E10" s="13">
        <f t="shared" si="2"/>
        <v>1.5</v>
      </c>
      <c r="F10" s="13">
        <f t="shared" si="0"/>
        <v>261.83999999999997</v>
      </c>
      <c r="G10" s="37">
        <f t="shared" si="3"/>
        <v>1161.8399999999999</v>
      </c>
      <c r="H10" s="24"/>
      <c r="I10" s="55">
        <v>44577</v>
      </c>
      <c r="K10" s="16"/>
    </row>
    <row r="11" spans="1:11">
      <c r="A11" s="40">
        <v>7</v>
      </c>
      <c r="B11" s="11">
        <f t="shared" si="1"/>
        <v>6</v>
      </c>
      <c r="C11" s="10" t="str">
        <f t="shared" si="4"/>
        <v>08:30</v>
      </c>
      <c r="D11" s="12">
        <v>0.83333333333333337</v>
      </c>
      <c r="E11" s="13">
        <f t="shared" si="2"/>
        <v>2.5</v>
      </c>
      <c r="F11" s="13">
        <f>IF(OR($C11="",$D11=""),"",IF($E11&lt;=2, ROUND($I$1*$E11*1.33,2), ROUND(($I$1*($E11-2))*1.67+($I$1*$E11*1.33),2)))</f>
        <v>546</v>
      </c>
      <c r="G11" s="37">
        <f t="shared" si="3"/>
        <v>1446</v>
      </c>
      <c r="H11" s="26"/>
      <c r="I11" s="55">
        <v>44583</v>
      </c>
      <c r="K11" s="16"/>
    </row>
    <row r="12" spans="1:11">
      <c r="A12" s="40">
        <v>8</v>
      </c>
      <c r="B12" s="11">
        <f t="shared" si="1"/>
        <v>7</v>
      </c>
      <c r="C12" s="10" t="str">
        <f t="shared" si="4"/>
        <v/>
      </c>
      <c r="D12" s="12"/>
      <c r="E12" s="13" t="str">
        <f t="shared" si="2"/>
        <v/>
      </c>
      <c r="F12" s="13" t="str">
        <f t="shared" ref="F12:F35" si="5">IF(OR($C12="",$D12=""),"",IF($E12&lt;=2, ROUND($I$1*$E12*1.33,2), ROUND(($I$1*($E12-2))*1.67+($I$1*$E12*1.33),2)))</f>
        <v/>
      </c>
      <c r="G12" s="37">
        <f t="shared" si="3"/>
        <v>900</v>
      </c>
      <c r="H12" s="2"/>
      <c r="I12" s="55">
        <v>44584</v>
      </c>
      <c r="K12" s="16"/>
    </row>
    <row r="13" spans="1:11">
      <c r="A13" s="40">
        <v>9</v>
      </c>
      <c r="B13" s="11">
        <f t="shared" si="1"/>
        <v>8</v>
      </c>
      <c r="C13" s="10" t="str">
        <f t="shared" si="4"/>
        <v/>
      </c>
      <c r="D13" s="12"/>
      <c r="E13" s="13" t="str">
        <f t="shared" si="2"/>
        <v/>
      </c>
      <c r="F13" s="13" t="str">
        <f t="shared" si="5"/>
        <v/>
      </c>
      <c r="G13" s="37">
        <f t="shared" si="3"/>
        <v>900</v>
      </c>
      <c r="H13" s="2"/>
      <c r="I13" s="55">
        <v>44590</v>
      </c>
      <c r="K13" s="16"/>
    </row>
    <row r="14" spans="1:11">
      <c r="A14" s="40">
        <v>10</v>
      </c>
      <c r="B14" s="11">
        <f t="shared" si="1"/>
        <v>2</v>
      </c>
      <c r="C14" s="10" t="str">
        <f t="shared" si="4"/>
        <v>08:30</v>
      </c>
      <c r="D14" s="12">
        <v>0.79166666666666663</v>
      </c>
      <c r="E14" s="13">
        <f t="shared" si="2"/>
        <v>1.5</v>
      </c>
      <c r="F14" s="13">
        <f t="shared" si="5"/>
        <v>261.83999999999997</v>
      </c>
      <c r="G14" s="37">
        <f t="shared" si="3"/>
        <v>1161.8399999999999</v>
      </c>
      <c r="H14" s="2"/>
      <c r="I14" s="55">
        <v>44591</v>
      </c>
      <c r="K14" s="16"/>
    </row>
    <row r="15" spans="1:11">
      <c r="A15" s="40">
        <v>11</v>
      </c>
      <c r="B15" s="11">
        <f t="shared" si="1"/>
        <v>3</v>
      </c>
      <c r="C15" s="10" t="str">
        <f t="shared" si="4"/>
        <v>08:30</v>
      </c>
      <c r="D15" s="12">
        <v>0.79166666666666663</v>
      </c>
      <c r="E15" s="13">
        <f t="shared" si="2"/>
        <v>1.5</v>
      </c>
      <c r="F15" s="13">
        <f t="shared" si="5"/>
        <v>261.83999999999997</v>
      </c>
      <c r="G15" s="37">
        <f t="shared" si="3"/>
        <v>1161.8399999999999</v>
      </c>
      <c r="H15" s="2"/>
      <c r="I15" s="55">
        <v>44592</v>
      </c>
      <c r="K15" s="16"/>
    </row>
    <row r="16" spans="1:11" ht="17.25" thickBot="1">
      <c r="A16" s="40">
        <v>12</v>
      </c>
      <c r="B16" s="11">
        <f t="shared" si="1"/>
        <v>4</v>
      </c>
      <c r="C16" s="10" t="str">
        <f t="shared" si="4"/>
        <v>08:30</v>
      </c>
      <c r="D16" s="14">
        <v>0.79166666666666663</v>
      </c>
      <c r="E16" s="13">
        <f t="shared" si="2"/>
        <v>1.5</v>
      </c>
      <c r="F16" s="13">
        <f t="shared" si="5"/>
        <v>261.83999999999997</v>
      </c>
      <c r="G16" s="37">
        <f t="shared" si="3"/>
        <v>1161.8399999999999</v>
      </c>
      <c r="H16" s="2"/>
      <c r="I16" s="55"/>
      <c r="K16" s="17"/>
    </row>
    <row r="17" spans="1:11" ht="17.25" thickBot="1">
      <c r="A17" s="40">
        <v>13</v>
      </c>
      <c r="B17" s="11">
        <f t="shared" si="1"/>
        <v>5</v>
      </c>
      <c r="C17" s="10" t="str">
        <f t="shared" si="4"/>
        <v>08:30</v>
      </c>
      <c r="D17" s="12">
        <v>0.79166666666666663</v>
      </c>
      <c r="E17" s="13">
        <f t="shared" si="2"/>
        <v>1.5</v>
      </c>
      <c r="F17" s="13">
        <f t="shared" si="5"/>
        <v>261.83999999999997</v>
      </c>
      <c r="G17" s="37">
        <f t="shared" si="3"/>
        <v>1161.8399999999999</v>
      </c>
      <c r="H17" s="2"/>
      <c r="I17" s="55"/>
      <c r="K17" s="57">
        <f>DATE($B$1,$C$1,0)+1</f>
        <v>44562</v>
      </c>
    </row>
    <row r="18" spans="1:11" ht="17.25" thickBot="1">
      <c r="A18" s="40">
        <v>14</v>
      </c>
      <c r="B18" s="11">
        <f t="shared" si="1"/>
        <v>6</v>
      </c>
      <c r="C18" s="10" t="str">
        <f t="shared" si="4"/>
        <v>08:30</v>
      </c>
      <c r="D18" s="12">
        <v>0.79166666666666663</v>
      </c>
      <c r="E18" s="13">
        <f t="shared" si="2"/>
        <v>1.5</v>
      </c>
      <c r="F18" s="13">
        <f t="shared" si="5"/>
        <v>261.83999999999997</v>
      </c>
      <c r="G18" s="37">
        <f t="shared" si="3"/>
        <v>1161.8399999999999</v>
      </c>
      <c r="H18" s="2"/>
      <c r="I18" s="55"/>
      <c r="K18" s="57">
        <f>DATE($B$1,$C$1+1,0)</f>
        <v>44592</v>
      </c>
    </row>
    <row r="19" spans="1:11">
      <c r="A19" s="40">
        <v>15</v>
      </c>
      <c r="B19" s="11">
        <f t="shared" si="1"/>
        <v>7</v>
      </c>
      <c r="C19" s="10" t="str">
        <f t="shared" si="4"/>
        <v/>
      </c>
      <c r="D19" s="12"/>
      <c r="E19" s="13" t="str">
        <f t="shared" si="2"/>
        <v/>
      </c>
      <c r="F19" s="13" t="str">
        <f t="shared" si="5"/>
        <v/>
      </c>
      <c r="G19" s="37">
        <f t="shared" si="3"/>
        <v>900</v>
      </c>
      <c r="H19" s="2"/>
      <c r="I19" s="55"/>
      <c r="K19" s="16"/>
    </row>
    <row r="20" spans="1:11">
      <c r="A20" s="40">
        <v>16</v>
      </c>
      <c r="B20" s="11">
        <f t="shared" si="1"/>
        <v>8</v>
      </c>
      <c r="C20" s="10" t="str">
        <f t="shared" si="4"/>
        <v/>
      </c>
      <c r="D20" s="12"/>
      <c r="E20" s="13" t="str">
        <f t="shared" si="2"/>
        <v/>
      </c>
      <c r="F20" s="13" t="str">
        <f t="shared" si="5"/>
        <v/>
      </c>
      <c r="G20" s="37">
        <f t="shared" si="3"/>
        <v>900</v>
      </c>
      <c r="H20" s="2"/>
      <c r="I20" s="55"/>
      <c r="K20" s="16"/>
    </row>
    <row r="21" spans="1:11">
      <c r="A21" s="40">
        <v>17</v>
      </c>
      <c r="B21" s="11">
        <f t="shared" si="1"/>
        <v>2</v>
      </c>
      <c r="C21" s="10" t="str">
        <f t="shared" si="4"/>
        <v>08:30</v>
      </c>
      <c r="D21" s="12">
        <v>0.79166666666666663</v>
      </c>
      <c r="E21" s="13">
        <f t="shared" si="2"/>
        <v>1.5</v>
      </c>
      <c r="F21" s="13">
        <f t="shared" si="5"/>
        <v>261.83999999999997</v>
      </c>
      <c r="G21" s="37">
        <f t="shared" si="3"/>
        <v>1161.8399999999999</v>
      </c>
      <c r="H21" s="2"/>
      <c r="I21" s="55"/>
      <c r="K21" s="16"/>
    </row>
    <row r="22" spans="1:11">
      <c r="A22" s="40">
        <v>18</v>
      </c>
      <c r="B22" s="11">
        <f t="shared" si="1"/>
        <v>3</v>
      </c>
      <c r="C22" s="10" t="str">
        <f t="shared" si="4"/>
        <v>08:30</v>
      </c>
      <c r="D22" s="12">
        <v>0.79166666666666663</v>
      </c>
      <c r="E22" s="13">
        <f t="shared" si="2"/>
        <v>1.5</v>
      </c>
      <c r="F22" s="13">
        <f t="shared" si="5"/>
        <v>261.83999999999997</v>
      </c>
      <c r="G22" s="37">
        <f t="shared" si="3"/>
        <v>1161.8399999999999</v>
      </c>
      <c r="H22" s="2"/>
      <c r="I22" s="55"/>
    </row>
    <row r="23" spans="1:11">
      <c r="A23" s="40">
        <v>19</v>
      </c>
      <c r="B23" s="11">
        <f t="shared" si="1"/>
        <v>4</v>
      </c>
      <c r="C23" s="10" t="str">
        <f t="shared" si="4"/>
        <v>08:30</v>
      </c>
      <c r="D23" s="12">
        <v>0.79166666666666663</v>
      </c>
      <c r="E23" s="13">
        <f t="shared" si="2"/>
        <v>1.5</v>
      </c>
      <c r="F23" s="13">
        <f t="shared" si="5"/>
        <v>261.83999999999997</v>
      </c>
      <c r="G23" s="37">
        <f t="shared" si="3"/>
        <v>1161.8399999999999</v>
      </c>
      <c r="H23" s="2"/>
      <c r="I23" s="55"/>
    </row>
    <row r="24" spans="1:11">
      <c r="A24" s="40">
        <v>20</v>
      </c>
      <c r="B24" s="11">
        <f t="shared" si="1"/>
        <v>5</v>
      </c>
      <c r="C24" s="10" t="str">
        <f t="shared" si="4"/>
        <v>08:30</v>
      </c>
      <c r="D24" s="12">
        <v>0.79166666666666663</v>
      </c>
      <c r="E24" s="13">
        <f t="shared" si="2"/>
        <v>1.5</v>
      </c>
      <c r="F24" s="13">
        <f t="shared" si="5"/>
        <v>261.83999999999997</v>
      </c>
      <c r="G24" s="37">
        <f t="shared" si="3"/>
        <v>1161.8399999999999</v>
      </c>
      <c r="H24" s="2"/>
      <c r="I24" s="55"/>
    </row>
    <row r="25" spans="1:11">
      <c r="A25" s="40">
        <v>21</v>
      </c>
      <c r="B25" s="11">
        <f t="shared" si="1"/>
        <v>6</v>
      </c>
      <c r="C25" s="10" t="str">
        <f t="shared" si="4"/>
        <v>08:30</v>
      </c>
      <c r="D25" s="12">
        <v>0.79166666666666663</v>
      </c>
      <c r="E25" s="13">
        <f t="shared" si="2"/>
        <v>1.5</v>
      </c>
      <c r="F25" s="13">
        <f t="shared" si="5"/>
        <v>261.83999999999997</v>
      </c>
      <c r="G25" s="37">
        <f t="shared" si="3"/>
        <v>1161.8399999999999</v>
      </c>
      <c r="H25" s="2"/>
      <c r="I25" s="55"/>
    </row>
    <row r="26" spans="1:11">
      <c r="A26" s="40">
        <v>22</v>
      </c>
      <c r="B26" s="11">
        <f t="shared" si="1"/>
        <v>7</v>
      </c>
      <c r="C26" s="10" t="str">
        <f t="shared" si="4"/>
        <v/>
      </c>
      <c r="D26" s="12">
        <v>0.72916666666666663</v>
      </c>
      <c r="E26" s="13" t="str">
        <f t="shared" si="2"/>
        <v/>
      </c>
      <c r="F26" s="13" t="str">
        <f t="shared" si="5"/>
        <v/>
      </c>
      <c r="G26" s="37">
        <f t="shared" si="3"/>
        <v>900</v>
      </c>
      <c r="H26" s="2"/>
      <c r="I26" s="55"/>
    </row>
    <row r="27" spans="1:11">
      <c r="A27" s="40">
        <v>23</v>
      </c>
      <c r="B27" s="11">
        <f t="shared" si="1"/>
        <v>8</v>
      </c>
      <c r="C27" s="10" t="str">
        <f t="shared" si="4"/>
        <v/>
      </c>
      <c r="D27" s="15"/>
      <c r="E27" s="13" t="str">
        <f t="shared" si="2"/>
        <v/>
      </c>
      <c r="F27" s="13" t="str">
        <f t="shared" si="5"/>
        <v/>
      </c>
      <c r="G27" s="37">
        <f t="shared" si="3"/>
        <v>900</v>
      </c>
      <c r="H27" s="2"/>
      <c r="I27" s="55"/>
    </row>
    <row r="28" spans="1:11">
      <c r="A28" s="40">
        <v>24</v>
      </c>
      <c r="B28" s="11">
        <f t="shared" si="1"/>
        <v>2</v>
      </c>
      <c r="C28" s="10" t="str">
        <f t="shared" si="4"/>
        <v>08:30</v>
      </c>
      <c r="D28" s="12">
        <v>0.79166666666666663</v>
      </c>
      <c r="E28" s="13">
        <f t="shared" si="2"/>
        <v>1.5</v>
      </c>
      <c r="F28" s="13">
        <f t="shared" si="5"/>
        <v>261.83999999999997</v>
      </c>
      <c r="G28" s="37">
        <f t="shared" si="3"/>
        <v>1161.8399999999999</v>
      </c>
      <c r="H28" s="2"/>
      <c r="I28" s="55"/>
    </row>
    <row r="29" spans="1:11">
      <c r="A29" s="40">
        <v>25</v>
      </c>
      <c r="B29" s="11">
        <f t="shared" si="1"/>
        <v>3</v>
      </c>
      <c r="C29" s="10" t="str">
        <f t="shared" si="4"/>
        <v>08:30</v>
      </c>
      <c r="D29" s="12"/>
      <c r="E29" s="13" t="str">
        <f t="shared" si="2"/>
        <v/>
      </c>
      <c r="F29" s="13" t="str">
        <f t="shared" si="5"/>
        <v/>
      </c>
      <c r="G29" s="37">
        <f t="shared" si="3"/>
        <v>900</v>
      </c>
      <c r="H29" s="2"/>
      <c r="I29" s="55"/>
    </row>
    <row r="30" spans="1:11">
      <c r="A30" s="40">
        <v>26</v>
      </c>
      <c r="B30" s="11">
        <f t="shared" si="1"/>
        <v>4</v>
      </c>
      <c r="C30" s="10" t="str">
        <f t="shared" si="4"/>
        <v>08:30</v>
      </c>
      <c r="D30" s="12"/>
      <c r="E30" s="13" t="str">
        <f t="shared" si="2"/>
        <v/>
      </c>
      <c r="F30" s="13" t="str">
        <f t="shared" si="5"/>
        <v/>
      </c>
      <c r="G30" s="37">
        <f t="shared" si="3"/>
        <v>900</v>
      </c>
      <c r="H30" s="2"/>
      <c r="I30" s="55"/>
    </row>
    <row r="31" spans="1:11">
      <c r="A31" s="40">
        <v>27</v>
      </c>
      <c r="B31" s="11">
        <f t="shared" si="1"/>
        <v>5</v>
      </c>
      <c r="C31" s="10" t="str">
        <f t="shared" si="4"/>
        <v>08:30</v>
      </c>
      <c r="D31" s="12"/>
      <c r="E31" s="13" t="str">
        <f t="shared" si="2"/>
        <v/>
      </c>
      <c r="F31" s="13" t="str">
        <f t="shared" si="5"/>
        <v/>
      </c>
      <c r="G31" s="37">
        <f t="shared" si="3"/>
        <v>900</v>
      </c>
      <c r="H31" s="59"/>
      <c r="I31" s="55"/>
    </row>
    <row r="32" spans="1:11">
      <c r="A32" s="40">
        <v>28</v>
      </c>
      <c r="B32" s="11">
        <f t="shared" si="1"/>
        <v>6</v>
      </c>
      <c r="C32" s="10" t="str">
        <f t="shared" si="4"/>
        <v>08:30</v>
      </c>
      <c r="D32" s="12"/>
      <c r="E32" s="13" t="str">
        <f t="shared" si="2"/>
        <v/>
      </c>
      <c r="F32" s="13" t="str">
        <f t="shared" si="5"/>
        <v/>
      </c>
      <c r="G32" s="37">
        <f t="shared" si="3"/>
        <v>900</v>
      </c>
      <c r="H32" s="2"/>
      <c r="I32" s="55"/>
    </row>
    <row r="33" spans="1:9">
      <c r="A33" s="40">
        <v>29</v>
      </c>
      <c r="B33" s="11">
        <f t="shared" si="1"/>
        <v>7</v>
      </c>
      <c r="C33" s="10" t="str">
        <f t="shared" si="4"/>
        <v/>
      </c>
      <c r="D33" s="15"/>
      <c r="E33" s="13" t="str">
        <f t="shared" si="2"/>
        <v/>
      </c>
      <c r="F33" s="13" t="str">
        <f t="shared" si="5"/>
        <v/>
      </c>
      <c r="G33" s="37">
        <f t="shared" si="3"/>
        <v>900</v>
      </c>
      <c r="H33" s="2"/>
      <c r="I33" s="55"/>
    </row>
    <row r="34" spans="1:9">
      <c r="A34" s="40">
        <v>30</v>
      </c>
      <c r="B34" s="11">
        <f t="shared" si="1"/>
        <v>8</v>
      </c>
      <c r="C34" s="10" t="str">
        <f t="shared" si="4"/>
        <v/>
      </c>
      <c r="D34" s="15"/>
      <c r="E34" s="13" t="str">
        <f t="shared" si="2"/>
        <v/>
      </c>
      <c r="F34" s="13" t="str">
        <f t="shared" si="5"/>
        <v/>
      </c>
      <c r="G34" s="37">
        <f t="shared" si="3"/>
        <v>900</v>
      </c>
      <c r="H34" s="2"/>
      <c r="I34" s="55"/>
    </row>
    <row r="35" spans="1:9" ht="17.25" thickBot="1">
      <c r="A35" s="41">
        <v>31</v>
      </c>
      <c r="B35" s="42">
        <f t="shared" si="1"/>
        <v>2</v>
      </c>
      <c r="C35" s="43" t="str">
        <f t="shared" si="4"/>
        <v>08:30</v>
      </c>
      <c r="D35" s="19"/>
      <c r="E35" s="13" t="str">
        <f t="shared" si="2"/>
        <v/>
      </c>
      <c r="F35" s="13" t="str">
        <f t="shared" si="5"/>
        <v/>
      </c>
      <c r="G35" s="38">
        <f t="shared" si="3"/>
        <v>900</v>
      </c>
      <c r="H35" s="2"/>
      <c r="I35" s="56"/>
    </row>
    <row r="36" spans="1:9" ht="17.25" thickBot="1">
      <c r="A36" s="1"/>
      <c r="B36" s="3"/>
      <c r="C36" s="2"/>
      <c r="D36" s="20" t="s">
        <v>5</v>
      </c>
      <c r="E36" s="21">
        <f>SUM($E$5:$E$35)</f>
        <v>25.5</v>
      </c>
      <c r="F36" s="25">
        <f>ROUND(SUM($F$5:$F$35),2)</f>
        <v>4560.8900000000003</v>
      </c>
      <c r="G36" s="27">
        <f>ROUND(SUM($G$5:$G$35),2)</f>
        <v>32460.89</v>
      </c>
    </row>
    <row r="37" spans="1:9" ht="17.25" thickBot="1">
      <c r="A37" s="1"/>
      <c r="B37" s="3"/>
      <c r="C37" s="2"/>
      <c r="D37" s="52" t="s">
        <v>9</v>
      </c>
      <c r="E37" s="53"/>
      <c r="F37" s="22"/>
      <c r="G37" s="58">
        <f>NETWORKDAYS($K$17,$K$18,$I$5:$I$35)*100</f>
        <v>2000</v>
      </c>
    </row>
    <row r="38" spans="1:9" ht="17.25" thickBot="1">
      <c r="D38" s="50" t="s">
        <v>10</v>
      </c>
      <c r="E38" s="51"/>
      <c r="F38" s="23"/>
      <c r="G38" s="28">
        <v>1600</v>
      </c>
    </row>
    <row r="39" spans="1:9" ht="18.75" thickTop="1" thickBot="1">
      <c r="E39" s="18"/>
      <c r="F39" s="18"/>
      <c r="G39" s="60">
        <f>SUM($G$36:$G$38)</f>
        <v>36060.89</v>
      </c>
      <c r="H39" s="9" t="s">
        <v>6</v>
      </c>
    </row>
    <row r="40" spans="1:9" ht="17.25" thickTop="1"/>
  </sheetData>
  <mergeCells count="2">
    <mergeCell ref="D38:E38"/>
    <mergeCell ref="D37:E37"/>
  </mergeCells>
  <phoneticPr fontId="3"/>
  <conditionalFormatting sqref="A5:G35">
    <cfRule type="expression" dxfId="4" priority="8">
      <formula>$B5=""</formula>
    </cfRule>
    <cfRule type="expression" dxfId="3" priority="10">
      <formula>$B5&gt;=7</formula>
    </cfRule>
  </conditionalFormatting>
  <conditionalFormatting sqref="I5:I35">
    <cfRule type="expression" dxfId="2" priority="1">
      <formula>COLUMN($I5)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薪水計算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ywqa011</dc:creator>
  <cp:lastModifiedBy>ywqa011</cp:lastModifiedBy>
  <dcterms:created xsi:type="dcterms:W3CDTF">2022-01-18T05:15:24Z</dcterms:created>
  <dcterms:modified xsi:type="dcterms:W3CDTF">2022-02-17T10:13:15Z</dcterms:modified>
</cp:coreProperties>
</file>